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241D179-0335-4E81-A02E-010A6CBE9DAA}" xr6:coauthVersionLast="47" xr6:coauthVersionMax="47" xr10:uidLastSave="{00000000-0000-0000-0000-000000000000}"/>
  <bookViews>
    <workbookView xWindow="-110" yWindow="-110" windowWidth="19420" windowHeight="10420" xr2:uid="{3A7EE585-D4DD-43BE-AA94-0186534DE5BA}"/>
  </bookViews>
  <sheets>
    <sheet name="GRAFIC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C29" i="2"/>
  <c r="C30" i="2"/>
  <c r="M36" i="2"/>
  <c r="M35" i="2"/>
  <c r="I28" i="2"/>
  <c r="I29" i="2"/>
  <c r="I30" i="2"/>
  <c r="I27" i="2"/>
  <c r="H28" i="2"/>
  <c r="H29" i="2"/>
  <c r="H30" i="2"/>
  <c r="H27" i="2"/>
  <c r="D30" i="2"/>
  <c r="D29" i="2"/>
  <c r="D28" i="2"/>
  <c r="S21" i="2"/>
  <c r="M50" i="2"/>
  <c r="E30" i="2"/>
  <c r="F28" i="2"/>
  <c r="F29" i="2"/>
  <c r="F30" i="2"/>
  <c r="F27" i="2"/>
  <c r="O9" i="2"/>
  <c r="O8" i="2"/>
  <c r="O7" i="2"/>
  <c r="T57" i="2"/>
  <c r="X39" i="2"/>
  <c r="W57" i="2"/>
  <c r="P7" i="2"/>
  <c r="P8" i="2"/>
  <c r="P9" i="2"/>
  <c r="P6" i="2"/>
  <c r="S19" i="2"/>
  <c r="S20" i="2"/>
  <c r="R19" i="2"/>
  <c r="Q7" i="2" s="1"/>
  <c r="U19" i="2" s="1"/>
  <c r="R20" i="2"/>
  <c r="Q8" i="2" s="1"/>
  <c r="U20" i="2" s="1"/>
  <c r="R21" i="2"/>
  <c r="Q9" i="2" s="1"/>
  <c r="U21" i="2" s="1"/>
  <c r="R18" i="2"/>
  <c r="Q6" i="2" s="1"/>
  <c r="U18" i="2" s="1"/>
  <c r="D8" i="2"/>
  <c r="D7" i="2"/>
  <c r="M47" i="2"/>
  <c r="S18" i="2" s="1"/>
  <c r="T56" i="2"/>
  <c r="T55" i="2"/>
  <c r="T54" i="2"/>
  <c r="X37" i="2"/>
  <c r="X38" i="2"/>
  <c r="X36" i="2"/>
  <c r="W55" i="2"/>
  <c r="W56" i="2"/>
  <c r="W54" i="2"/>
  <c r="N34" i="2"/>
  <c r="N35" i="2"/>
  <c r="N36" i="2"/>
  <c r="L35" i="2"/>
  <c r="L36" i="2"/>
  <c r="L34" i="2"/>
  <c r="C27" i="2"/>
  <c r="C26" i="2"/>
  <c r="N8" i="2"/>
  <c r="N7" i="2"/>
  <c r="N6" i="2"/>
  <c r="N5" i="2"/>
  <c r="T19" i="2"/>
  <c r="T20" i="2"/>
  <c r="T21" i="2"/>
  <c r="T18" i="2"/>
  <c r="T17" i="2"/>
  <c r="M34" i="2"/>
  <c r="D27" i="2"/>
  <c r="O6" i="2"/>
  <c r="D6" i="2"/>
  <c r="D5" i="2"/>
  <c r="O19" i="2"/>
  <c r="L22" i="2"/>
  <c r="L21" i="2"/>
  <c r="L20" i="2"/>
  <c r="L19" i="2"/>
</calcChain>
</file>

<file path=xl/sharedStrings.xml><?xml version="1.0" encoding="utf-8"?>
<sst xmlns="http://schemas.openxmlformats.org/spreadsheetml/2006/main" count="134" uniqueCount="94">
  <si>
    <t xml:space="preserve">Id_Inventario </t>
  </si>
  <si>
    <t xml:space="preserve">Nombre </t>
  </si>
  <si>
    <t xml:space="preserve">Ubicación </t>
  </si>
  <si>
    <t>Fecha_Ingreso</t>
  </si>
  <si>
    <t>Feha_Salida</t>
  </si>
  <si>
    <t xml:space="preserve">Cantidad </t>
  </si>
  <si>
    <t xml:space="preserve">Ventas </t>
  </si>
  <si>
    <t xml:space="preserve">Codigo_Ventas </t>
  </si>
  <si>
    <t xml:space="preserve">Nombre_Usuario </t>
  </si>
  <si>
    <t xml:space="preserve">Factura </t>
  </si>
  <si>
    <t>Materia Prima</t>
  </si>
  <si>
    <t>Cod_Mat_Prima</t>
  </si>
  <si>
    <t>Precio Final</t>
  </si>
  <si>
    <t>Cantidad</t>
  </si>
  <si>
    <t>Tipo</t>
  </si>
  <si>
    <t xml:space="preserve">Producto Terminado </t>
  </si>
  <si>
    <t>Cod_Produ_Term</t>
  </si>
  <si>
    <t>Nom_Pieza</t>
  </si>
  <si>
    <t>Calidad</t>
  </si>
  <si>
    <t>Tamaño</t>
  </si>
  <si>
    <t>Material</t>
  </si>
  <si>
    <t xml:space="preserve">Catalogo </t>
  </si>
  <si>
    <t>Cod_Catalogo</t>
  </si>
  <si>
    <t xml:space="preserve">Nom_Pieza  </t>
  </si>
  <si>
    <t>Imag_Pieza</t>
  </si>
  <si>
    <t>Descripción</t>
  </si>
  <si>
    <t xml:space="preserve">Precio </t>
  </si>
  <si>
    <t>Fabricación</t>
  </si>
  <si>
    <t xml:space="preserve">Cod_Pieza </t>
  </si>
  <si>
    <t>Modelo</t>
  </si>
  <si>
    <t xml:space="preserve">Tiempo </t>
  </si>
  <si>
    <t xml:space="preserve">Cliente </t>
  </si>
  <si>
    <t>Telefono</t>
  </si>
  <si>
    <t>Dirección</t>
  </si>
  <si>
    <t>Pago</t>
  </si>
  <si>
    <t>Tipo_Pago</t>
  </si>
  <si>
    <t>Banco</t>
  </si>
  <si>
    <t>Id_Envió</t>
  </si>
  <si>
    <t>Envió</t>
  </si>
  <si>
    <t>Dirrección</t>
  </si>
  <si>
    <t>Precio_Envió</t>
  </si>
  <si>
    <t xml:space="preserve">Factura de Ventas </t>
  </si>
  <si>
    <t>Valor Total</t>
  </si>
  <si>
    <t xml:space="preserve">Proveedores </t>
  </si>
  <si>
    <t>NIT</t>
  </si>
  <si>
    <t>Tipo_Materia_Prima</t>
  </si>
  <si>
    <t>Fech_Entrega</t>
  </si>
  <si>
    <t>Ubicación</t>
  </si>
  <si>
    <t>Id_Provee</t>
  </si>
  <si>
    <t xml:space="preserve">Rolex </t>
  </si>
  <si>
    <t xml:space="preserve">Jalio </t>
  </si>
  <si>
    <t xml:space="preserve">Metales.s.a </t>
  </si>
  <si>
    <t xml:space="preserve">Bogota </t>
  </si>
  <si>
    <t xml:space="preserve">Cali </t>
  </si>
  <si>
    <t xml:space="preserve">Medellin  </t>
  </si>
  <si>
    <t>Oro</t>
  </si>
  <si>
    <t>Plata</t>
  </si>
  <si>
    <t xml:space="preserve">Soldadura </t>
  </si>
  <si>
    <t>10N52</t>
  </si>
  <si>
    <t>M4406</t>
  </si>
  <si>
    <t>Q330M8</t>
  </si>
  <si>
    <t xml:space="preserve">KEVIN </t>
  </si>
  <si>
    <t>WILSON</t>
  </si>
  <si>
    <t xml:space="preserve">ANDRES </t>
  </si>
  <si>
    <t xml:space="preserve">TATIANA </t>
  </si>
  <si>
    <t>Valledupar</t>
  </si>
  <si>
    <t>Efectivo</t>
  </si>
  <si>
    <t>Transferencia</t>
  </si>
  <si>
    <t>Nequi</t>
  </si>
  <si>
    <t xml:space="preserve">Bancolombia </t>
  </si>
  <si>
    <t>Id_Cliente</t>
  </si>
  <si>
    <t>Arte_Perro</t>
  </si>
  <si>
    <t>Arte_Oso</t>
  </si>
  <si>
    <t>Arte_Paloma</t>
  </si>
  <si>
    <t>x</t>
  </si>
  <si>
    <t>Esta pieza representa…</t>
  </si>
  <si>
    <t xml:space="preserve">Plata </t>
  </si>
  <si>
    <t>200 gr</t>
  </si>
  <si>
    <t>201 gr</t>
  </si>
  <si>
    <t>202 gr</t>
  </si>
  <si>
    <t>30 cm  x  40 cm</t>
  </si>
  <si>
    <t xml:space="preserve">45 cm x 30 cm </t>
  </si>
  <si>
    <t xml:space="preserve">46 cm x 30 cm </t>
  </si>
  <si>
    <t xml:space="preserve">47 cm x 30 cm </t>
  </si>
  <si>
    <t>10 h</t>
  </si>
  <si>
    <t>11 h</t>
  </si>
  <si>
    <t>12 h</t>
  </si>
  <si>
    <t>13 h</t>
  </si>
  <si>
    <t>Inventario</t>
  </si>
  <si>
    <t>Descu_Ventas (15%)</t>
  </si>
  <si>
    <t>Codigo_Factura</t>
  </si>
  <si>
    <t>Aprobado</t>
  </si>
  <si>
    <t>Defectuoso</t>
  </si>
  <si>
    <t>Arte_Vera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</si>
</sst>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&quot;$&quot;\ #,##0.00"/>
    <numFmt numFmtId="165" formatCode="&quot;$&quot;\ #,##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6" fontId="0" fillId="6" borderId="1" xfId="0" applyNumberFormat="1" applyFill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455316</xdr:colOff>
      <xdr:row>9</xdr:row>
      <xdr:rowOff>1</xdr:rowOff>
    </xdr:from>
    <xdr:to>
      <xdr:col>14</xdr:col>
      <xdr:colOff>753628</xdr:colOff>
      <xdr:row>14</xdr:row>
      <xdr:rowOff>83736</xdr:rowOff>
    </xdr:to>
    <xdr:cxnSp macro="">
      <xdr:nvCxnSpPr>
        <xdr:cNvPr id="21" name="Conector: angular 20">
          <a:extLst>
            <a:ext uri="{FF2B5EF4-FFF2-40B4-BE49-F238E27FC236}">
              <a16:creationId xmlns:a16="http://schemas.microsoft.com/office/drawing/2014/main" id="{5EF8E860-9D9C-4877-D751-632EE035E8C7}"/>
            </a:ext>
          </a:extLst>
        </xdr:cNvPr>
        <xdr:cNvCxnSpPr>
          <a:stCxn id="44" idx="0"/>
        </xdr:cNvCxnSpPr>
      </xdr:nvCxnSpPr>
      <xdr:spPr>
        <a:xfrm rot="5400000" flipH="1" flipV="1">
          <a:off x="18754308" y="1682575"/>
          <a:ext cx="1025768" cy="298312"/>
        </a:xfrm>
        <a:prstGeom prst="bentConnector3">
          <a:avLst>
            <a:gd name="adj1" fmla="val 50000"/>
          </a:avLst>
        </a:prstGeom>
        <a:ln w="38100">
          <a:solidFill>
            <a:srgbClr val="00B050"/>
          </a:solidFill>
          <a:prstDash val="solid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1892408</xdr:colOff>
      <xdr:row>14</xdr:row>
      <xdr:rowOff>120371</xdr:rowOff>
    </xdr:from>
    <xdr:to>
      <xdr:col>14</xdr:col>
      <xdr:colOff>429148</xdr:colOff>
      <xdr:row>15</xdr:row>
      <xdr:rowOff>33445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753B0266-7284-8376-9F2E-3936C40BEB51}"/>
            </a:ext>
          </a:extLst>
        </xdr:cNvPr>
        <xdr:cNvCxnSpPr>
          <a:stCxn id="44" idx="2"/>
          <a:endCxn id="37" idx="6"/>
        </xdr:cNvCxnSpPr>
      </xdr:nvCxnSpPr>
      <xdr:spPr>
        <a:xfrm flipH="1">
          <a:off x="12934950" y="2445117"/>
          <a:ext cx="6786359" cy="106803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1844866</xdr:colOff>
      <xdr:row>15</xdr:row>
      <xdr:rowOff>70438</xdr:rowOff>
    </xdr:from>
    <xdr:to>
      <xdr:col>9</xdr:col>
      <xdr:colOff>1858077</xdr:colOff>
      <xdr:row>19</xdr:row>
      <xdr:rowOff>22007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EC183907-9BA0-18BE-D49C-3E0A1903A8CE}"/>
            </a:ext>
          </a:extLst>
        </xdr:cNvPr>
        <xdr:cNvCxnSpPr>
          <a:cxnSpLocks/>
          <a:stCxn id="37" idx="4"/>
          <a:endCxn id="61" idx="0"/>
        </xdr:cNvCxnSpPr>
      </xdr:nvCxnSpPr>
      <xdr:spPr>
        <a:xfrm flipH="1">
          <a:off x="12887408" y="2588913"/>
          <a:ext cx="13211" cy="1049365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1823746</xdr:colOff>
      <xdr:row>14</xdr:row>
      <xdr:rowOff>190181</xdr:rowOff>
    </xdr:from>
    <xdr:to>
      <xdr:col>9</xdr:col>
      <xdr:colOff>1892408</xdr:colOff>
      <xdr:row>15</xdr:row>
      <xdr:rowOff>70438</xdr:rowOff>
    </xdr:to>
    <xdr:sp macro="" textlink="">
      <xdr:nvSpPr>
        <xdr:cNvPr id="37" name="Diagrama de flujo: conector 36">
          <a:extLst>
            <a:ext uri="{FF2B5EF4-FFF2-40B4-BE49-F238E27FC236}">
              <a16:creationId xmlns:a16="http://schemas.microsoft.com/office/drawing/2014/main" id="{308C686B-34A9-45FD-BEE7-F663AD5FFFA9}"/>
            </a:ext>
          </a:extLst>
        </xdr:cNvPr>
        <xdr:cNvSpPr/>
      </xdr:nvSpPr>
      <xdr:spPr>
        <a:xfrm>
          <a:off x="12866288" y="2514927"/>
          <a:ext cx="68662" cy="73986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429148</xdr:colOff>
      <xdr:row>14</xdr:row>
      <xdr:rowOff>83736</xdr:rowOff>
    </xdr:from>
    <xdr:to>
      <xdr:col>14</xdr:col>
      <xdr:colOff>481483</xdr:colOff>
      <xdr:row>14</xdr:row>
      <xdr:rowOff>157006</xdr:rowOff>
    </xdr:to>
    <xdr:sp macro="" textlink="">
      <xdr:nvSpPr>
        <xdr:cNvPr id="44" name="Diagrama de flujo: conector 43">
          <a:extLst>
            <a:ext uri="{FF2B5EF4-FFF2-40B4-BE49-F238E27FC236}">
              <a16:creationId xmlns:a16="http://schemas.microsoft.com/office/drawing/2014/main" id="{ADEA1E16-4B99-453B-B157-D67424787D42}"/>
            </a:ext>
          </a:extLst>
        </xdr:cNvPr>
        <xdr:cNvSpPr/>
      </xdr:nvSpPr>
      <xdr:spPr>
        <a:xfrm>
          <a:off x="19091868" y="2344615"/>
          <a:ext cx="52335" cy="73270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1771597</xdr:colOff>
      <xdr:row>19</xdr:row>
      <xdr:rowOff>22007</xdr:rowOff>
    </xdr:from>
    <xdr:to>
      <xdr:col>9</xdr:col>
      <xdr:colOff>1918135</xdr:colOff>
      <xdr:row>19</xdr:row>
      <xdr:rowOff>189479</xdr:rowOff>
    </xdr:to>
    <xdr:sp macro="" textlink="">
      <xdr:nvSpPr>
        <xdr:cNvPr id="61" name="Diagrama de flujo: conector 60">
          <a:extLst>
            <a:ext uri="{FF2B5EF4-FFF2-40B4-BE49-F238E27FC236}">
              <a16:creationId xmlns:a16="http://schemas.microsoft.com/office/drawing/2014/main" id="{FAE3E8FA-7E3E-498B-9F0F-F89B502E838A}"/>
            </a:ext>
          </a:extLst>
        </xdr:cNvPr>
        <xdr:cNvSpPr/>
      </xdr:nvSpPr>
      <xdr:spPr>
        <a:xfrm>
          <a:off x="12814139" y="3638278"/>
          <a:ext cx="146538" cy="167472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95459</xdr:colOff>
      <xdr:row>20</xdr:row>
      <xdr:rowOff>11725</xdr:rowOff>
    </xdr:from>
    <xdr:to>
      <xdr:col>9</xdr:col>
      <xdr:colOff>241997</xdr:colOff>
      <xdr:row>20</xdr:row>
      <xdr:rowOff>179197</xdr:rowOff>
    </xdr:to>
    <xdr:sp macro="" textlink="">
      <xdr:nvSpPr>
        <xdr:cNvPr id="62" name="Diagrama de flujo: conector 61">
          <a:extLst>
            <a:ext uri="{FF2B5EF4-FFF2-40B4-BE49-F238E27FC236}">
              <a16:creationId xmlns:a16="http://schemas.microsoft.com/office/drawing/2014/main" id="{FC569AE6-4C9B-404E-B5E8-2C3A22014BCD}"/>
            </a:ext>
          </a:extLst>
        </xdr:cNvPr>
        <xdr:cNvSpPr/>
      </xdr:nvSpPr>
      <xdr:spPr>
        <a:xfrm>
          <a:off x="11138179" y="3727522"/>
          <a:ext cx="146538" cy="167472"/>
        </a:xfrm>
        <a:prstGeom prst="flowChartConnector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1539030</xdr:colOff>
      <xdr:row>21</xdr:row>
      <xdr:rowOff>1443</xdr:rowOff>
    </xdr:from>
    <xdr:to>
      <xdr:col>9</xdr:col>
      <xdr:colOff>1685568</xdr:colOff>
      <xdr:row>21</xdr:row>
      <xdr:rowOff>168915</xdr:rowOff>
    </xdr:to>
    <xdr:sp macro="" textlink="">
      <xdr:nvSpPr>
        <xdr:cNvPr id="63" name="Diagrama de flujo: conector 62">
          <a:extLst>
            <a:ext uri="{FF2B5EF4-FFF2-40B4-BE49-F238E27FC236}">
              <a16:creationId xmlns:a16="http://schemas.microsoft.com/office/drawing/2014/main" id="{6699679F-8D9C-450B-A27D-992E46DBB45D}"/>
            </a:ext>
          </a:extLst>
        </xdr:cNvPr>
        <xdr:cNvSpPr/>
      </xdr:nvSpPr>
      <xdr:spPr>
        <a:xfrm>
          <a:off x="12581572" y="4005172"/>
          <a:ext cx="146538" cy="167472"/>
        </a:xfrm>
        <a:prstGeom prst="flowChartConnector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1587500</xdr:colOff>
      <xdr:row>7</xdr:row>
      <xdr:rowOff>134327</xdr:rowOff>
    </xdr:from>
    <xdr:to>
      <xdr:col>9</xdr:col>
      <xdr:colOff>101320</xdr:colOff>
      <xdr:row>18</xdr:row>
      <xdr:rowOff>90855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7948ACD0-8779-D8CD-1FD1-BE3809A5BC08}"/>
            </a:ext>
          </a:extLst>
        </xdr:cNvPr>
        <xdr:cNvCxnSpPr>
          <a:stCxn id="73" idx="2"/>
        </xdr:cNvCxnSpPr>
      </xdr:nvCxnSpPr>
      <xdr:spPr>
        <a:xfrm flipH="1" flipV="1">
          <a:off x="5702788" y="1502019"/>
          <a:ext cx="7257282" cy="2423259"/>
        </a:xfrm>
        <a:prstGeom prst="straightConnector1">
          <a:avLst/>
        </a:prstGeom>
        <a:ln w="38100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101320</xdr:colOff>
      <xdr:row>18</xdr:row>
      <xdr:rowOff>7119</xdr:rowOff>
    </xdr:from>
    <xdr:to>
      <xdr:col>9</xdr:col>
      <xdr:colOff>247858</xdr:colOff>
      <xdr:row>18</xdr:row>
      <xdr:rowOff>174591</xdr:rowOff>
    </xdr:to>
    <xdr:sp macro="" textlink="">
      <xdr:nvSpPr>
        <xdr:cNvPr id="73" name="Diagrama de flujo: conector 72">
          <a:extLst>
            <a:ext uri="{FF2B5EF4-FFF2-40B4-BE49-F238E27FC236}">
              <a16:creationId xmlns:a16="http://schemas.microsoft.com/office/drawing/2014/main" id="{78BA1D58-9DA0-4C58-B53A-120B4C7A9844}"/>
            </a:ext>
          </a:extLst>
        </xdr:cNvPr>
        <xdr:cNvSpPr/>
      </xdr:nvSpPr>
      <xdr:spPr>
        <a:xfrm>
          <a:off x="11144040" y="3346103"/>
          <a:ext cx="146538" cy="167472"/>
        </a:xfrm>
        <a:prstGeom prst="flowChartConnector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460550</xdr:colOff>
      <xdr:row>20</xdr:row>
      <xdr:rowOff>95461</xdr:rowOff>
    </xdr:from>
    <xdr:to>
      <xdr:col>9</xdr:col>
      <xdr:colOff>95460</xdr:colOff>
      <xdr:row>25</xdr:row>
      <xdr:rowOff>62802</xdr:rowOff>
    </xdr:to>
    <xdr:cxnSp macro="">
      <xdr:nvCxnSpPr>
        <xdr:cNvPr id="80" name="Conector: angular 79">
          <a:extLst>
            <a:ext uri="{FF2B5EF4-FFF2-40B4-BE49-F238E27FC236}">
              <a16:creationId xmlns:a16="http://schemas.microsoft.com/office/drawing/2014/main" id="{47DD4390-5E06-1440-6F0B-71FBBA889580}"/>
            </a:ext>
          </a:extLst>
        </xdr:cNvPr>
        <xdr:cNvCxnSpPr>
          <a:stCxn id="62" idx="2"/>
        </xdr:cNvCxnSpPr>
      </xdr:nvCxnSpPr>
      <xdr:spPr>
        <a:xfrm rot="10800000" flipV="1">
          <a:off x="3810001" y="3811258"/>
          <a:ext cx="7328179" cy="909374"/>
        </a:xfrm>
        <a:prstGeom prst="bentConnector3">
          <a:avLst>
            <a:gd name="adj1" fmla="val 100134"/>
          </a:avLst>
        </a:prstGeom>
        <a:ln w="38100"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1469823</xdr:colOff>
      <xdr:row>28</xdr:row>
      <xdr:rowOff>117650</xdr:rowOff>
    </xdr:from>
    <xdr:to>
      <xdr:col>12</xdr:col>
      <xdr:colOff>258308</xdr:colOff>
      <xdr:row>32</xdr:row>
      <xdr:rowOff>161442</xdr:rowOff>
    </xdr:to>
    <xdr:cxnSp macro="">
      <xdr:nvCxnSpPr>
        <xdr:cNvPr id="93" name="Conector: angular 92">
          <a:extLst>
            <a:ext uri="{FF2B5EF4-FFF2-40B4-BE49-F238E27FC236}">
              <a16:creationId xmlns:a16="http://schemas.microsoft.com/office/drawing/2014/main" id="{65C2F376-A2D9-3606-67D8-AD262F7B8B4C}"/>
            </a:ext>
          </a:extLst>
        </xdr:cNvPr>
        <xdr:cNvCxnSpPr>
          <a:stCxn id="99" idx="4"/>
        </xdr:cNvCxnSpPr>
      </xdr:nvCxnSpPr>
      <xdr:spPr>
        <a:xfrm rot="16200000" flipH="1">
          <a:off x="16162890" y="5733821"/>
          <a:ext cx="818707" cy="306027"/>
        </a:xfrm>
        <a:prstGeom prst="bentConnector3">
          <a:avLst>
            <a:gd name="adj1" fmla="val 50000"/>
          </a:avLst>
        </a:prstGeom>
        <a:ln w="38100"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1685568</xdr:colOff>
      <xdr:row>21</xdr:row>
      <xdr:rowOff>85180</xdr:rowOff>
    </xdr:from>
    <xdr:to>
      <xdr:col>11</xdr:col>
      <xdr:colOff>1446963</xdr:colOff>
      <xdr:row>28</xdr:row>
      <xdr:rowOff>79761</xdr:rowOff>
    </xdr:to>
    <xdr:cxnSp macro="">
      <xdr:nvCxnSpPr>
        <xdr:cNvPr id="97" name="Conector: angular 96">
          <a:extLst>
            <a:ext uri="{FF2B5EF4-FFF2-40B4-BE49-F238E27FC236}">
              <a16:creationId xmlns:a16="http://schemas.microsoft.com/office/drawing/2014/main" id="{1F4291BB-1F35-FBA5-9CB0-C42F47995CFE}"/>
            </a:ext>
          </a:extLst>
        </xdr:cNvPr>
        <xdr:cNvCxnSpPr>
          <a:stCxn id="99" idx="2"/>
          <a:endCxn id="63" idx="6"/>
        </xdr:cNvCxnSpPr>
      </xdr:nvCxnSpPr>
      <xdr:spPr>
        <a:xfrm rot="10800000">
          <a:off x="12728110" y="4088909"/>
          <a:ext cx="3668260" cy="1350683"/>
        </a:xfrm>
        <a:prstGeom prst="bentConnector3">
          <a:avLst>
            <a:gd name="adj1" fmla="val 88729"/>
          </a:avLst>
        </a:prstGeom>
        <a:ln w="38100"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1446963</xdr:colOff>
      <xdr:row>28</xdr:row>
      <xdr:rowOff>41869</xdr:rowOff>
    </xdr:from>
    <xdr:to>
      <xdr:col>11</xdr:col>
      <xdr:colOff>1492682</xdr:colOff>
      <xdr:row>28</xdr:row>
      <xdr:rowOff>117651</xdr:rowOff>
    </xdr:to>
    <xdr:sp macro="" textlink="">
      <xdr:nvSpPr>
        <xdr:cNvPr id="99" name="Diagrama de flujo: conector 98">
          <a:extLst>
            <a:ext uri="{FF2B5EF4-FFF2-40B4-BE49-F238E27FC236}">
              <a16:creationId xmlns:a16="http://schemas.microsoft.com/office/drawing/2014/main" id="{FE7D7B41-9FE3-4921-BD06-4AB1FD990B6E}"/>
            </a:ext>
          </a:extLst>
        </xdr:cNvPr>
        <xdr:cNvSpPr/>
      </xdr:nvSpPr>
      <xdr:spPr>
        <a:xfrm>
          <a:off x="15012238" y="5264918"/>
          <a:ext cx="45719" cy="75782"/>
        </a:xfrm>
        <a:prstGeom prst="flowChartConnector">
          <a:avLst/>
        </a:pr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871778</xdr:colOff>
      <xdr:row>0</xdr:row>
      <xdr:rowOff>169512</xdr:rowOff>
    </xdr:from>
    <xdr:to>
      <xdr:col>19</xdr:col>
      <xdr:colOff>1017076</xdr:colOff>
      <xdr:row>15</xdr:row>
      <xdr:rowOff>129153</xdr:rowOff>
    </xdr:to>
    <xdr:cxnSp macro="">
      <xdr:nvCxnSpPr>
        <xdr:cNvPr id="120" name="Conector: angular 119">
          <a:extLst>
            <a:ext uri="{FF2B5EF4-FFF2-40B4-BE49-F238E27FC236}">
              <a16:creationId xmlns:a16="http://schemas.microsoft.com/office/drawing/2014/main" id="{FC8DBD51-1B3A-36BD-894F-EA281BADE59A}"/>
            </a:ext>
          </a:extLst>
        </xdr:cNvPr>
        <xdr:cNvCxnSpPr>
          <a:stCxn id="135" idx="6"/>
        </xdr:cNvCxnSpPr>
      </xdr:nvCxnSpPr>
      <xdr:spPr>
        <a:xfrm>
          <a:off x="23328176" y="169512"/>
          <a:ext cx="4084451" cy="2865573"/>
        </a:xfrm>
        <a:prstGeom prst="bentConnector3">
          <a:avLst>
            <a:gd name="adj1" fmla="val 100198"/>
          </a:avLst>
        </a:prstGeom>
        <a:ln w="38100">
          <a:solidFill>
            <a:srgbClr val="0070C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48433</xdr:colOff>
      <xdr:row>0</xdr:row>
      <xdr:rowOff>169511</xdr:rowOff>
    </xdr:from>
    <xdr:to>
      <xdr:col>16</xdr:col>
      <xdr:colOff>710339</xdr:colOff>
      <xdr:row>4</xdr:row>
      <xdr:rowOff>88791</xdr:rowOff>
    </xdr:to>
    <xdr:cxnSp macro="">
      <xdr:nvCxnSpPr>
        <xdr:cNvPr id="129" name="Conector: angular 128">
          <a:extLst>
            <a:ext uri="{FF2B5EF4-FFF2-40B4-BE49-F238E27FC236}">
              <a16:creationId xmlns:a16="http://schemas.microsoft.com/office/drawing/2014/main" id="{5B51589E-AFC3-87CE-73F3-4CD04A9E55A7}"/>
            </a:ext>
          </a:extLst>
        </xdr:cNvPr>
        <xdr:cNvCxnSpPr>
          <a:stCxn id="135" idx="2"/>
          <a:endCxn id="134" idx="2"/>
        </xdr:cNvCxnSpPr>
      </xdr:nvCxnSpPr>
      <xdr:spPr>
        <a:xfrm rot="10800000" flipV="1">
          <a:off x="16515382" y="169511"/>
          <a:ext cx="6651355" cy="694195"/>
        </a:xfrm>
        <a:prstGeom prst="bentConnector3">
          <a:avLst>
            <a:gd name="adj1" fmla="val 103437"/>
          </a:avLst>
        </a:prstGeom>
        <a:ln w="38100">
          <a:solidFill>
            <a:srgbClr val="0070C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48432</xdr:colOff>
      <xdr:row>4</xdr:row>
      <xdr:rowOff>0</xdr:rowOff>
    </xdr:from>
    <xdr:to>
      <xdr:col>12</xdr:col>
      <xdr:colOff>209872</xdr:colOff>
      <xdr:row>4</xdr:row>
      <xdr:rowOff>177584</xdr:rowOff>
    </xdr:to>
    <xdr:sp macro="" textlink="">
      <xdr:nvSpPr>
        <xdr:cNvPr id="134" name="Diagrama de flujo: conector 133">
          <a:extLst>
            <a:ext uri="{FF2B5EF4-FFF2-40B4-BE49-F238E27FC236}">
              <a16:creationId xmlns:a16="http://schemas.microsoft.com/office/drawing/2014/main" id="{0E6522FE-6DE3-B11E-4747-7D122A553E38}"/>
            </a:ext>
          </a:extLst>
        </xdr:cNvPr>
        <xdr:cNvSpPr/>
      </xdr:nvSpPr>
      <xdr:spPr>
        <a:xfrm>
          <a:off x="16515381" y="774915"/>
          <a:ext cx="161440" cy="177584"/>
        </a:xfrm>
        <a:prstGeom prst="flowChartConnector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710338</xdr:colOff>
      <xdr:row>0</xdr:row>
      <xdr:rowOff>80720</xdr:rowOff>
    </xdr:from>
    <xdr:to>
      <xdr:col>16</xdr:col>
      <xdr:colOff>871778</xdr:colOff>
      <xdr:row>1</xdr:row>
      <xdr:rowOff>64575</xdr:rowOff>
    </xdr:to>
    <xdr:sp macro="" textlink="">
      <xdr:nvSpPr>
        <xdr:cNvPr id="135" name="Diagrama de flujo: conector 134">
          <a:extLst>
            <a:ext uri="{FF2B5EF4-FFF2-40B4-BE49-F238E27FC236}">
              <a16:creationId xmlns:a16="http://schemas.microsoft.com/office/drawing/2014/main" id="{8F6C39A7-3F85-4377-8432-FB573AB1BF80}"/>
            </a:ext>
          </a:extLst>
        </xdr:cNvPr>
        <xdr:cNvSpPr/>
      </xdr:nvSpPr>
      <xdr:spPr>
        <a:xfrm>
          <a:off x="23166736" y="80720"/>
          <a:ext cx="161440" cy="177584"/>
        </a:xfrm>
        <a:prstGeom prst="flowChartConnector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1417860</xdr:colOff>
      <xdr:row>25</xdr:row>
      <xdr:rowOff>145296</xdr:rowOff>
    </xdr:from>
    <xdr:to>
      <xdr:col>2</xdr:col>
      <xdr:colOff>306738</xdr:colOff>
      <xdr:row>44</xdr:row>
      <xdr:rowOff>36569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5D7C2266-842F-4AEC-A108-F3518802254B}"/>
            </a:ext>
          </a:extLst>
        </xdr:cNvPr>
        <xdr:cNvCxnSpPr/>
      </xdr:nvCxnSpPr>
      <xdr:spPr>
        <a:xfrm flipV="1">
          <a:off x="2176631" y="5311398"/>
          <a:ext cx="357988" cy="3572120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1393023</xdr:colOff>
      <xdr:row>44</xdr:row>
      <xdr:rowOff>20425</xdr:rowOff>
    </xdr:from>
    <xdr:to>
      <xdr:col>2</xdr:col>
      <xdr:colOff>70451</xdr:colOff>
      <xdr:row>44</xdr:row>
      <xdr:rowOff>187897</xdr:rowOff>
    </xdr:to>
    <xdr:sp macro="" textlink="">
      <xdr:nvSpPr>
        <xdr:cNvPr id="6" name="Diagrama de flujo: conector 5">
          <a:extLst>
            <a:ext uri="{FF2B5EF4-FFF2-40B4-BE49-F238E27FC236}">
              <a16:creationId xmlns:a16="http://schemas.microsoft.com/office/drawing/2014/main" id="{EFA392DC-4E59-4DA6-B1B8-8218AD60E85E}"/>
            </a:ext>
          </a:extLst>
        </xdr:cNvPr>
        <xdr:cNvSpPr/>
      </xdr:nvSpPr>
      <xdr:spPr>
        <a:xfrm>
          <a:off x="2151794" y="8867374"/>
          <a:ext cx="146538" cy="167472"/>
        </a:xfrm>
        <a:prstGeom prst="flowChartConnector">
          <a:avLst/>
        </a:prstGeom>
        <a:solidFill>
          <a:srgbClr val="00B050"/>
        </a:solidFill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1505854</xdr:colOff>
      <xdr:row>32</xdr:row>
      <xdr:rowOff>80721</xdr:rowOff>
    </xdr:from>
    <xdr:to>
      <xdr:col>11</xdr:col>
      <xdr:colOff>209873</xdr:colOff>
      <xdr:row>45</xdr:row>
      <xdr:rowOff>74711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D22610EE-FCE1-4027-A696-D19842E38AD6}"/>
            </a:ext>
          </a:extLst>
        </xdr:cNvPr>
        <xdr:cNvCxnSpPr/>
      </xdr:nvCxnSpPr>
      <xdr:spPr>
        <a:xfrm flipV="1">
          <a:off x="16568269" y="6602924"/>
          <a:ext cx="415290" cy="2512465"/>
        </a:xfrm>
        <a:prstGeom prst="straightConnector1">
          <a:avLst/>
        </a:prstGeom>
        <a:ln w="38100"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1457313</xdr:colOff>
      <xdr:row>44</xdr:row>
      <xdr:rowOff>162683</xdr:rowOff>
    </xdr:from>
    <xdr:to>
      <xdr:col>10</xdr:col>
      <xdr:colOff>1603851</xdr:colOff>
      <xdr:row>45</xdr:row>
      <xdr:rowOff>134770</xdr:rowOff>
    </xdr:to>
    <xdr:sp macro="" textlink="">
      <xdr:nvSpPr>
        <xdr:cNvPr id="11" name="Diagrama de flujo: conector 10">
          <a:extLst>
            <a:ext uri="{FF2B5EF4-FFF2-40B4-BE49-F238E27FC236}">
              <a16:creationId xmlns:a16="http://schemas.microsoft.com/office/drawing/2014/main" id="{740B1D27-F423-4AFE-B949-83DD3FF32472}"/>
            </a:ext>
          </a:extLst>
        </xdr:cNvPr>
        <xdr:cNvSpPr/>
      </xdr:nvSpPr>
      <xdr:spPr>
        <a:xfrm>
          <a:off x="16501928" y="9077106"/>
          <a:ext cx="146538" cy="167472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13</xdr:col>
      <xdr:colOff>1436823</xdr:colOff>
      <xdr:row>4</xdr:row>
      <xdr:rowOff>161441</xdr:rowOff>
    </xdr:from>
    <xdr:to>
      <xdr:col>18</xdr:col>
      <xdr:colOff>129152</xdr:colOff>
      <xdr:row>33</xdr:row>
      <xdr:rowOff>161441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9A17F0A5-879E-4AD0-880D-6CD967DCE93E}"/>
            </a:ext>
          </a:extLst>
        </xdr:cNvPr>
        <xdr:cNvCxnSpPr/>
      </xdr:nvCxnSpPr>
      <xdr:spPr>
        <a:xfrm flipH="1" flipV="1">
          <a:off x="21552331" y="936356"/>
          <a:ext cx="5424406" cy="5941017"/>
        </a:xfrm>
        <a:prstGeom prst="straightConnector1">
          <a:avLst/>
        </a:prstGeom>
        <a:ln w="57150"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1439927</xdr:colOff>
      <xdr:row>4</xdr:row>
      <xdr:rowOff>154818</xdr:rowOff>
    </xdr:from>
    <xdr:to>
      <xdr:col>18</xdr:col>
      <xdr:colOff>132256</xdr:colOff>
      <xdr:row>33</xdr:row>
      <xdr:rowOff>154818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9FFA387A-E721-4014-AED8-EF578B211BB1}"/>
            </a:ext>
          </a:extLst>
        </xdr:cNvPr>
        <xdr:cNvCxnSpPr/>
      </xdr:nvCxnSpPr>
      <xdr:spPr>
        <a:xfrm flipH="1" flipV="1">
          <a:off x="21552331" y="936356"/>
          <a:ext cx="5433098" cy="5983654"/>
        </a:xfrm>
        <a:prstGeom prst="straightConnector1">
          <a:avLst/>
        </a:prstGeom>
        <a:ln w="57150">
          <a:solidFill>
            <a:schemeClr val="bg1">
              <a:lumMod val="5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1111251</xdr:colOff>
      <xdr:row>34</xdr:row>
      <xdr:rowOff>12213</xdr:rowOff>
    </xdr:from>
    <xdr:to>
      <xdr:col>22</xdr:col>
      <xdr:colOff>158750</xdr:colOff>
      <xdr:row>52</xdr:row>
      <xdr:rowOff>134327</xdr:rowOff>
    </xdr:to>
    <xdr:cxnSp macro="">
      <xdr:nvCxnSpPr>
        <xdr:cNvPr id="23" name="Conector: angular 22">
          <a:extLst>
            <a:ext uri="{FF2B5EF4-FFF2-40B4-BE49-F238E27FC236}">
              <a16:creationId xmlns:a16="http://schemas.microsoft.com/office/drawing/2014/main" id="{6B34CB71-3ECF-B146-EE12-8401FE864E89}"/>
            </a:ext>
          </a:extLst>
        </xdr:cNvPr>
        <xdr:cNvCxnSpPr/>
      </xdr:nvCxnSpPr>
      <xdr:spPr>
        <a:xfrm>
          <a:off x="27964424" y="6972790"/>
          <a:ext cx="5202114" cy="3639037"/>
        </a:xfrm>
        <a:prstGeom prst="bentConnector3">
          <a:avLst>
            <a:gd name="adj1" fmla="val 93427"/>
          </a:avLst>
        </a:prstGeom>
        <a:ln w="38100">
          <a:solidFill>
            <a:srgbClr val="00B0F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1074615</xdr:colOff>
      <xdr:row>34</xdr:row>
      <xdr:rowOff>61058</xdr:rowOff>
    </xdr:from>
    <xdr:to>
      <xdr:col>23</xdr:col>
      <xdr:colOff>219807</xdr:colOff>
      <xdr:row>52</xdr:row>
      <xdr:rowOff>24423</xdr:rowOff>
    </xdr:to>
    <xdr:cxnSp macro="">
      <xdr:nvCxnSpPr>
        <xdr:cNvPr id="32" name="Conector: angular 31">
          <a:extLst>
            <a:ext uri="{FF2B5EF4-FFF2-40B4-BE49-F238E27FC236}">
              <a16:creationId xmlns:a16="http://schemas.microsoft.com/office/drawing/2014/main" id="{7E86C915-0687-4B79-87F1-F85D6AA9DC33}"/>
            </a:ext>
          </a:extLst>
        </xdr:cNvPr>
        <xdr:cNvCxnSpPr/>
      </xdr:nvCxnSpPr>
      <xdr:spPr>
        <a:xfrm flipV="1">
          <a:off x="27927788" y="7021635"/>
          <a:ext cx="6276731" cy="3480288"/>
        </a:xfrm>
        <a:prstGeom prst="bentConnector3">
          <a:avLst>
            <a:gd name="adj1" fmla="val 100195"/>
          </a:avLst>
        </a:prstGeom>
        <a:ln w="38100"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986651</xdr:colOff>
      <xdr:row>52</xdr:row>
      <xdr:rowOff>20283</xdr:rowOff>
    </xdr:from>
    <xdr:to>
      <xdr:col>18</xdr:col>
      <xdr:colOff>1133189</xdr:colOff>
      <xdr:row>52</xdr:row>
      <xdr:rowOff>187755</xdr:rowOff>
    </xdr:to>
    <xdr:sp macro="" textlink="">
      <xdr:nvSpPr>
        <xdr:cNvPr id="34" name="Diagrama de flujo: conector 33">
          <a:extLst>
            <a:ext uri="{FF2B5EF4-FFF2-40B4-BE49-F238E27FC236}">
              <a16:creationId xmlns:a16="http://schemas.microsoft.com/office/drawing/2014/main" id="{051BFB8C-8745-4ECE-95DA-8999BF0AF6B8}"/>
            </a:ext>
          </a:extLst>
        </xdr:cNvPr>
        <xdr:cNvSpPr/>
      </xdr:nvSpPr>
      <xdr:spPr>
        <a:xfrm>
          <a:off x="27839824" y="10497783"/>
          <a:ext cx="146538" cy="167472"/>
        </a:xfrm>
        <a:prstGeom prst="flowChartConnector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1004724</xdr:colOff>
      <xdr:row>33</xdr:row>
      <xdr:rowOff>111626</xdr:rowOff>
    </xdr:from>
    <xdr:to>
      <xdr:col>18</xdr:col>
      <xdr:colOff>1151262</xdr:colOff>
      <xdr:row>34</xdr:row>
      <xdr:rowOff>83713</xdr:rowOff>
    </xdr:to>
    <xdr:sp macro="" textlink="">
      <xdr:nvSpPr>
        <xdr:cNvPr id="35" name="Diagrama de flujo: conector 34">
          <a:extLst>
            <a:ext uri="{FF2B5EF4-FFF2-40B4-BE49-F238E27FC236}">
              <a16:creationId xmlns:a16="http://schemas.microsoft.com/office/drawing/2014/main" id="{EA4625B0-895F-4D9F-9B16-A130245E1604}"/>
            </a:ext>
          </a:extLst>
        </xdr:cNvPr>
        <xdr:cNvSpPr/>
      </xdr:nvSpPr>
      <xdr:spPr>
        <a:xfrm>
          <a:off x="27857897" y="6876818"/>
          <a:ext cx="146538" cy="167472"/>
        </a:xfrm>
        <a:prstGeom prst="flowChartConnector">
          <a:avLst/>
        </a:prstGeom>
        <a:ln/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0D7-58AF-4312-A531-AB236FDC92CC}">
  <dimension ref="B4:X57"/>
  <sheetViews>
    <sheetView tabSelected="1" zoomScale="25" zoomScaleNormal="25" workbookViewId="0">
      <selection activeCell="G17" sqref="G17"/>
    </sheetView>
  </sheetViews>
  <sheetFormatPr baseColWidth="10" defaultRowHeight="14.5" x14ac:dyDescent="0.35"/>
  <cols>
    <col min="2" max="2" width="22" style="28" customWidth="1"/>
    <col min="3" max="3" width="28.453125" style="28" customWidth="1"/>
    <col min="4" max="4" width="34.26953125" style="28" customWidth="1"/>
    <col min="5" max="5" width="25.7265625" style="28" customWidth="1"/>
    <col min="6" max="6" width="26" style="28" customWidth="1"/>
    <col min="7" max="7" width="11.453125" style="28"/>
    <col min="8" max="8" width="16.26953125" style="28" customWidth="1"/>
    <col min="9" max="9" width="17.54296875" style="28" customWidth="1"/>
    <col min="10" max="10" width="32.81640625" style="28" customWidth="1"/>
    <col min="11" max="11" width="25.54296875" style="28" customWidth="1"/>
    <col min="12" max="12" width="22.81640625" style="9" customWidth="1"/>
    <col min="13" max="13" width="27.453125" style="28" customWidth="1"/>
    <col min="14" max="14" width="26" style="28" customWidth="1"/>
    <col min="15" max="15" width="17.7265625" style="28" customWidth="1"/>
    <col min="16" max="16" width="18.81640625" style="28" customWidth="1"/>
    <col min="17" max="17" width="27.1796875" style="28" customWidth="1"/>
    <col min="18" max="18" width="11.453125" style="28"/>
    <col min="19" max="19" width="20.54296875" style="28" customWidth="1"/>
    <col min="20" max="20" width="22.453125" style="28" customWidth="1"/>
    <col min="21" max="21" width="17.453125" style="28" customWidth="1"/>
    <col min="22" max="22" width="32" customWidth="1"/>
    <col min="23" max="23" width="14.54296875" customWidth="1"/>
  </cols>
  <sheetData>
    <row r="4" spans="3:21" x14ac:dyDescent="0.35">
      <c r="C4" s="38" t="s">
        <v>43</v>
      </c>
      <c r="D4" s="38"/>
      <c r="E4" s="38"/>
      <c r="F4" s="38"/>
      <c r="G4" s="38"/>
      <c r="H4" s="38"/>
      <c r="I4" s="38"/>
      <c r="J4" s="38"/>
      <c r="K4" s="38"/>
      <c r="M4" s="34" t="s">
        <v>6</v>
      </c>
      <c r="N4" s="35"/>
      <c r="O4" s="35"/>
      <c r="P4" s="35"/>
      <c r="Q4" s="36"/>
    </row>
    <row r="5" spans="3:21" x14ac:dyDescent="0.35">
      <c r="C5" s="19" t="s">
        <v>48</v>
      </c>
      <c r="D5" s="21" t="str">
        <f>J18</f>
        <v xml:space="preserve">Id_Inventario </v>
      </c>
      <c r="E5" s="19" t="s">
        <v>1</v>
      </c>
      <c r="F5" s="19" t="s">
        <v>47</v>
      </c>
      <c r="G5" s="19" t="s">
        <v>13</v>
      </c>
      <c r="H5" s="19" t="s">
        <v>26</v>
      </c>
      <c r="I5" s="19" t="s">
        <v>46</v>
      </c>
      <c r="J5" s="19" t="s">
        <v>45</v>
      </c>
      <c r="K5" s="19" t="s">
        <v>44</v>
      </c>
      <c r="M5" s="22" t="s">
        <v>7</v>
      </c>
      <c r="N5" s="18" t="str">
        <f>S34</f>
        <v>Id_Cliente</v>
      </c>
      <c r="O5" s="21" t="s">
        <v>0</v>
      </c>
      <c r="P5" s="22" t="s">
        <v>9</v>
      </c>
      <c r="Q5" s="22" t="s">
        <v>89</v>
      </c>
    </row>
    <row r="6" spans="3:21" x14ac:dyDescent="0.35">
      <c r="C6" s="6">
        <v>1001</v>
      </c>
      <c r="D6" s="11">
        <f>J19</f>
        <v>900</v>
      </c>
      <c r="E6" s="3" t="s">
        <v>49</v>
      </c>
      <c r="F6" s="3" t="s">
        <v>52</v>
      </c>
      <c r="G6" s="3">
        <v>100</v>
      </c>
      <c r="H6" s="7">
        <v>100000</v>
      </c>
      <c r="I6" s="8">
        <v>46112</v>
      </c>
      <c r="J6" s="3" t="s">
        <v>55</v>
      </c>
      <c r="K6" s="3" t="s">
        <v>58</v>
      </c>
      <c r="M6" s="3">
        <v>3001</v>
      </c>
      <c r="N6" s="3">
        <f>S36</f>
        <v>10</v>
      </c>
      <c r="O6" s="12">
        <f>J20</f>
        <v>901</v>
      </c>
      <c r="P6" s="3">
        <f>Q18</f>
        <v>601</v>
      </c>
      <c r="Q6" s="27">
        <f>F46*R18*0.15</f>
        <v>30000</v>
      </c>
    </row>
    <row r="7" spans="3:21" x14ac:dyDescent="0.35">
      <c r="C7" s="3">
        <v>1002</v>
      </c>
      <c r="D7" s="11">
        <f>J19</f>
        <v>900</v>
      </c>
      <c r="E7" s="3" t="s">
        <v>51</v>
      </c>
      <c r="F7" s="3" t="s">
        <v>53</v>
      </c>
      <c r="G7" s="3">
        <v>30</v>
      </c>
      <c r="H7" s="7">
        <v>50000</v>
      </c>
      <c r="I7" s="8">
        <v>46113</v>
      </c>
      <c r="J7" s="3" t="s">
        <v>56</v>
      </c>
      <c r="K7" s="3" t="s">
        <v>59</v>
      </c>
      <c r="M7" s="3">
        <v>3002</v>
      </c>
      <c r="N7" s="3">
        <f>S37</f>
        <v>20</v>
      </c>
      <c r="O7" s="12">
        <f>J20</f>
        <v>901</v>
      </c>
      <c r="P7" s="3">
        <f>Q19</f>
        <v>602</v>
      </c>
      <c r="Q7" s="27">
        <f>F47*R19*0.15</f>
        <v>22500</v>
      </c>
    </row>
    <row r="8" spans="3:21" x14ac:dyDescent="0.35">
      <c r="C8" s="3">
        <v>1003</v>
      </c>
      <c r="D8" s="11">
        <f>J19</f>
        <v>900</v>
      </c>
      <c r="E8" s="3" t="s">
        <v>50</v>
      </c>
      <c r="F8" s="3" t="s">
        <v>54</v>
      </c>
      <c r="G8" s="3">
        <v>50</v>
      </c>
      <c r="H8" s="7">
        <v>50000</v>
      </c>
      <c r="I8" s="8">
        <v>46114</v>
      </c>
      <c r="J8" s="3" t="s">
        <v>57</v>
      </c>
      <c r="K8" s="3" t="s">
        <v>60</v>
      </c>
      <c r="M8" s="3">
        <v>3003</v>
      </c>
      <c r="N8" s="3">
        <f>S38</f>
        <v>30</v>
      </c>
      <c r="O8" s="12">
        <f>J20</f>
        <v>901</v>
      </c>
      <c r="P8" s="3">
        <f>Q20</f>
        <v>603</v>
      </c>
      <c r="Q8" s="27">
        <f>F48*R20*0.15</f>
        <v>48000</v>
      </c>
    </row>
    <row r="9" spans="3:21" x14ac:dyDescent="0.35">
      <c r="M9" s="3">
        <v>3004</v>
      </c>
      <c r="N9" s="3"/>
      <c r="O9" s="12">
        <f>J20</f>
        <v>901</v>
      </c>
      <c r="P9" s="3">
        <f>Q21</f>
        <v>604</v>
      </c>
      <c r="Q9" s="27">
        <f>F48*R21*0.15</f>
        <v>120000</v>
      </c>
    </row>
    <row r="16" spans="3:21" x14ac:dyDescent="0.35">
      <c r="Q16" s="39" t="s">
        <v>41</v>
      </c>
      <c r="R16" s="40"/>
      <c r="S16" s="40"/>
      <c r="T16" s="40"/>
      <c r="U16" s="41"/>
    </row>
    <row r="17" spans="2:21" ht="40.5" customHeight="1" x14ac:dyDescent="0.35">
      <c r="J17" s="32" t="s">
        <v>88</v>
      </c>
      <c r="K17" s="32"/>
      <c r="L17" s="32"/>
      <c r="M17" s="32"/>
      <c r="N17" s="32"/>
      <c r="O17" s="32"/>
      <c r="Q17" s="20" t="s">
        <v>90</v>
      </c>
      <c r="R17" s="20" t="s">
        <v>13</v>
      </c>
      <c r="S17" s="20" t="s">
        <v>17</v>
      </c>
      <c r="T17" s="20" t="str">
        <f>M5</f>
        <v xml:space="preserve">Codigo_Ventas </v>
      </c>
      <c r="U17" s="20" t="s">
        <v>42</v>
      </c>
    </row>
    <row r="18" spans="2:21" x14ac:dyDescent="0.35">
      <c r="J18" s="16" t="s">
        <v>0</v>
      </c>
      <c r="K18" s="16" t="s">
        <v>8</v>
      </c>
      <c r="L18" s="16" t="s">
        <v>2</v>
      </c>
      <c r="M18" s="16" t="s">
        <v>3</v>
      </c>
      <c r="N18" s="16" t="s">
        <v>4</v>
      </c>
      <c r="O18" s="16" t="s">
        <v>5</v>
      </c>
      <c r="Q18" s="3">
        <v>601</v>
      </c>
      <c r="R18" s="3">
        <f>U54</f>
        <v>5</v>
      </c>
      <c r="S18" s="3" t="str">
        <f>M47</f>
        <v>Arte_Perro</v>
      </c>
      <c r="T18" s="2">
        <f>M6</f>
        <v>3001</v>
      </c>
      <c r="U18" s="29">
        <f>F46*R18-Q6</f>
        <v>170000</v>
      </c>
    </row>
    <row r="19" spans="2:21" x14ac:dyDescent="0.35">
      <c r="J19" s="10">
        <v>900</v>
      </c>
      <c r="K19" s="3" t="s">
        <v>61</v>
      </c>
      <c r="L19" s="4">
        <f>C6</f>
        <v>1001</v>
      </c>
      <c r="M19" s="8">
        <v>46112</v>
      </c>
      <c r="N19" s="8">
        <v>46117</v>
      </c>
      <c r="O19" s="3">
        <f>G6</f>
        <v>100</v>
      </c>
      <c r="Q19" s="3">
        <v>602</v>
      </c>
      <c r="R19" s="3">
        <f>U55</f>
        <v>3</v>
      </c>
      <c r="S19" s="3" t="str">
        <f>M48</f>
        <v>Arte_Oso</v>
      </c>
      <c r="T19" s="2">
        <f>M7</f>
        <v>3002</v>
      </c>
      <c r="U19" s="29">
        <f>F47*R19-Q7</f>
        <v>127500</v>
      </c>
    </row>
    <row r="20" spans="2:21" x14ac:dyDescent="0.35">
      <c r="J20" s="12">
        <v>901</v>
      </c>
      <c r="K20" s="3" t="s">
        <v>62</v>
      </c>
      <c r="L20" s="1">
        <f>M6</f>
        <v>3001</v>
      </c>
      <c r="M20" s="8">
        <v>46113</v>
      </c>
      <c r="N20" s="8"/>
      <c r="O20" s="3"/>
      <c r="Q20" s="3">
        <v>603</v>
      </c>
      <c r="R20" s="3">
        <f>U56</f>
        <v>4</v>
      </c>
      <c r="S20" s="3" t="str">
        <f>M49</f>
        <v>Arte_Paloma</v>
      </c>
      <c r="T20" s="2">
        <f>M8</f>
        <v>3003</v>
      </c>
      <c r="U20" s="29">
        <f>F48*R20-Q8</f>
        <v>272000</v>
      </c>
    </row>
    <row r="21" spans="2:21" x14ac:dyDescent="0.35">
      <c r="J21" s="13">
        <v>902</v>
      </c>
      <c r="K21" s="3" t="s">
        <v>63</v>
      </c>
      <c r="L21" s="4">
        <f>B27</f>
        <v>4001</v>
      </c>
      <c r="M21" s="8">
        <v>46114</v>
      </c>
      <c r="N21" s="8"/>
      <c r="O21" s="3"/>
      <c r="Q21" s="3">
        <v>604</v>
      </c>
      <c r="R21" s="3">
        <f>U57</f>
        <v>10</v>
      </c>
      <c r="S21" s="3" t="str">
        <f>C48</f>
        <v>Arte_Paloma</v>
      </c>
      <c r="T21" s="2">
        <f>M9</f>
        <v>3004</v>
      </c>
      <c r="U21" s="29">
        <f>F48*R21-Q9</f>
        <v>680000</v>
      </c>
    </row>
    <row r="22" spans="2:21" x14ac:dyDescent="0.35">
      <c r="J22" s="14">
        <v>903</v>
      </c>
      <c r="K22" s="3" t="s">
        <v>64</v>
      </c>
      <c r="L22" s="5">
        <f>K34</f>
        <v>5001</v>
      </c>
      <c r="M22" s="8">
        <v>46115</v>
      </c>
      <c r="N22" s="8"/>
      <c r="O22" s="3"/>
    </row>
    <row r="25" spans="2:21" x14ac:dyDescent="0.35">
      <c r="B25" s="45" t="s">
        <v>15</v>
      </c>
      <c r="C25" s="46"/>
      <c r="D25" s="46"/>
      <c r="E25" s="46"/>
      <c r="F25" s="46"/>
      <c r="G25" s="46"/>
      <c r="H25" s="46"/>
      <c r="I25" s="47"/>
    </row>
    <row r="26" spans="2:21" x14ac:dyDescent="0.35">
      <c r="B26" s="23" t="s">
        <v>16</v>
      </c>
      <c r="C26" s="24" t="str">
        <f>B45</f>
        <v>Cod_Catalogo</v>
      </c>
      <c r="D26" s="21" t="s">
        <v>0</v>
      </c>
      <c r="E26" s="23" t="s">
        <v>17</v>
      </c>
      <c r="F26" s="23" t="s">
        <v>13</v>
      </c>
      <c r="G26" s="23" t="s">
        <v>18</v>
      </c>
      <c r="H26" s="23" t="s">
        <v>19</v>
      </c>
      <c r="I26" s="23" t="s">
        <v>20</v>
      </c>
    </row>
    <row r="27" spans="2:21" x14ac:dyDescent="0.35">
      <c r="B27" s="3">
        <v>4001</v>
      </c>
      <c r="C27" s="3">
        <f>B46</f>
        <v>7001</v>
      </c>
      <c r="D27" s="13">
        <f>J21</f>
        <v>902</v>
      </c>
      <c r="E27" s="3" t="s">
        <v>71</v>
      </c>
      <c r="F27" s="3">
        <f>O47</f>
        <v>10</v>
      </c>
      <c r="G27" s="3" t="s">
        <v>91</v>
      </c>
      <c r="H27" s="3" t="str">
        <f>N47</f>
        <v>30 cm  x  40 cm</v>
      </c>
      <c r="I27" s="3" t="str">
        <f>L47</f>
        <v>Oro</v>
      </c>
    </row>
    <row r="28" spans="2:21" x14ac:dyDescent="0.35">
      <c r="B28" s="3">
        <v>4002</v>
      </c>
      <c r="C28" s="3">
        <f>B47</f>
        <v>7002</v>
      </c>
      <c r="D28" s="13">
        <f>J21</f>
        <v>902</v>
      </c>
      <c r="E28" s="3" t="s">
        <v>72</v>
      </c>
      <c r="F28" s="3">
        <f>O48</f>
        <v>20</v>
      </c>
      <c r="G28" s="3" t="s">
        <v>91</v>
      </c>
      <c r="H28" s="3" t="str">
        <f>N48</f>
        <v xml:space="preserve">45 cm x 30 cm </v>
      </c>
      <c r="I28" s="3" t="str">
        <f>L48</f>
        <v>Oro</v>
      </c>
    </row>
    <row r="29" spans="2:21" x14ac:dyDescent="0.35">
      <c r="B29" s="3">
        <v>4003</v>
      </c>
      <c r="C29" s="3">
        <f>B48</f>
        <v>7003</v>
      </c>
      <c r="D29" s="13">
        <f>J21</f>
        <v>902</v>
      </c>
      <c r="E29" s="3" t="s">
        <v>73</v>
      </c>
      <c r="F29" s="3">
        <f>O49</f>
        <v>30</v>
      </c>
      <c r="G29" s="3" t="s">
        <v>91</v>
      </c>
      <c r="H29" s="3" t="str">
        <f>N49</f>
        <v xml:space="preserve">46 cm x 30 cm </v>
      </c>
      <c r="I29" s="3" t="str">
        <f>L49</f>
        <v xml:space="preserve">Plata </v>
      </c>
    </row>
    <row r="30" spans="2:21" x14ac:dyDescent="0.35">
      <c r="B30" s="3">
        <v>4004</v>
      </c>
      <c r="C30" s="3">
        <f>B49</f>
        <v>7004</v>
      </c>
      <c r="D30" s="13">
        <f>J21</f>
        <v>902</v>
      </c>
      <c r="E30" s="3" t="str">
        <f>C49</f>
        <v>Arte_Vera</v>
      </c>
      <c r="F30" s="3">
        <f>O50</f>
        <v>30</v>
      </c>
      <c r="G30" s="10" t="s">
        <v>92</v>
      </c>
      <c r="H30" s="3" t="str">
        <f>N50</f>
        <v xml:space="preserve">47 cm x 30 cm </v>
      </c>
      <c r="I30" s="3" t="str">
        <f>L50</f>
        <v xml:space="preserve">Plata </v>
      </c>
    </row>
    <row r="32" spans="2:21" x14ac:dyDescent="0.35">
      <c r="K32" s="42" t="s">
        <v>10</v>
      </c>
      <c r="L32" s="42"/>
      <c r="M32" s="42"/>
      <c r="N32" s="42"/>
      <c r="O32" s="42"/>
      <c r="P32" s="42"/>
    </row>
    <row r="33" spans="2:24" x14ac:dyDescent="0.35">
      <c r="K33" s="25" t="s">
        <v>11</v>
      </c>
      <c r="L33" s="26" t="s">
        <v>28</v>
      </c>
      <c r="M33" s="21" t="s">
        <v>0</v>
      </c>
      <c r="N33" s="25" t="s">
        <v>12</v>
      </c>
      <c r="O33" s="25" t="s">
        <v>13</v>
      </c>
      <c r="P33" s="25" t="s">
        <v>14</v>
      </c>
      <c r="S33" s="44" t="s">
        <v>31</v>
      </c>
      <c r="T33" s="44"/>
      <c r="U33" s="44"/>
      <c r="V33" s="44"/>
      <c r="W33" s="44"/>
      <c r="X33" s="44"/>
    </row>
    <row r="34" spans="2:24" x14ac:dyDescent="0.35">
      <c r="K34" s="3">
        <v>5001</v>
      </c>
      <c r="L34" s="3">
        <f>K47</f>
        <v>201</v>
      </c>
      <c r="M34" s="14">
        <f>J22</f>
        <v>903</v>
      </c>
      <c r="N34" s="7">
        <f>H6*G6</f>
        <v>10000000</v>
      </c>
      <c r="O34" s="3" t="s">
        <v>77</v>
      </c>
      <c r="P34" s="3" t="s">
        <v>55</v>
      </c>
      <c r="S34" s="18" t="s">
        <v>70</v>
      </c>
      <c r="T34" s="18" t="s">
        <v>32</v>
      </c>
      <c r="U34" s="18" t="s">
        <v>33</v>
      </c>
      <c r="V34" s="33" t="s">
        <v>34</v>
      </c>
      <c r="W34" s="33"/>
      <c r="X34" s="19" t="s">
        <v>37</v>
      </c>
    </row>
    <row r="35" spans="2:24" x14ac:dyDescent="0.35">
      <c r="K35" s="3">
        <v>5002</v>
      </c>
      <c r="L35" s="3">
        <f>K48</f>
        <v>202</v>
      </c>
      <c r="M35" s="14">
        <f>J22</f>
        <v>903</v>
      </c>
      <c r="N35" s="7">
        <f>H7*G7</f>
        <v>1500000</v>
      </c>
      <c r="O35" s="3" t="s">
        <v>78</v>
      </c>
      <c r="P35" s="3" t="s">
        <v>55</v>
      </c>
      <c r="S35" s="18"/>
      <c r="T35" s="18"/>
      <c r="U35" s="18"/>
      <c r="V35" s="18" t="s">
        <v>35</v>
      </c>
      <c r="W35" s="18" t="s">
        <v>36</v>
      </c>
      <c r="X35" s="18"/>
    </row>
    <row r="36" spans="2:24" x14ac:dyDescent="0.35">
      <c r="K36" s="3">
        <v>5003</v>
      </c>
      <c r="L36" s="3">
        <f>K49</f>
        <v>203</v>
      </c>
      <c r="M36" s="14">
        <f>J22</f>
        <v>903</v>
      </c>
      <c r="N36" s="7">
        <f>H8*G8</f>
        <v>2500000</v>
      </c>
      <c r="O36" s="3" t="s">
        <v>79</v>
      </c>
      <c r="P36" s="3" t="s">
        <v>76</v>
      </c>
      <c r="S36" s="3">
        <v>10</v>
      </c>
      <c r="T36" s="3">
        <v>3125785489</v>
      </c>
      <c r="U36" s="3" t="s">
        <v>52</v>
      </c>
      <c r="V36" s="3" t="s">
        <v>66</v>
      </c>
      <c r="W36" s="3"/>
      <c r="X36" s="3">
        <f>S54</f>
        <v>220</v>
      </c>
    </row>
    <row r="37" spans="2:24" x14ac:dyDescent="0.35">
      <c r="S37" s="3">
        <v>20</v>
      </c>
      <c r="T37" s="3">
        <v>3125785484</v>
      </c>
      <c r="U37" s="3" t="s">
        <v>53</v>
      </c>
      <c r="V37" s="3" t="s">
        <v>67</v>
      </c>
      <c r="W37" s="3" t="s">
        <v>68</v>
      </c>
      <c r="X37" s="3">
        <f>S55</f>
        <v>221</v>
      </c>
    </row>
    <row r="38" spans="2:24" x14ac:dyDescent="0.35">
      <c r="S38" s="3">
        <v>30</v>
      </c>
      <c r="T38" s="3">
        <v>3125784556</v>
      </c>
      <c r="U38" s="3" t="s">
        <v>65</v>
      </c>
      <c r="V38" s="3" t="s">
        <v>67</v>
      </c>
      <c r="W38" s="3" t="s">
        <v>69</v>
      </c>
      <c r="X38" s="3">
        <f>S56</f>
        <v>222</v>
      </c>
    </row>
    <row r="39" spans="2:24" x14ac:dyDescent="0.35">
      <c r="S39" s="3">
        <v>30</v>
      </c>
      <c r="T39" s="3">
        <v>3125784556</v>
      </c>
      <c r="U39" s="3" t="s">
        <v>65</v>
      </c>
      <c r="V39" s="3" t="s">
        <v>67</v>
      </c>
      <c r="W39" s="3" t="s">
        <v>69</v>
      </c>
      <c r="X39" s="3">
        <f>S57</f>
        <v>223</v>
      </c>
    </row>
    <row r="44" spans="2:24" x14ac:dyDescent="0.35">
      <c r="B44" s="37" t="s">
        <v>21</v>
      </c>
      <c r="C44" s="37"/>
      <c r="D44" s="37"/>
      <c r="E44" s="37"/>
      <c r="F44" s="37"/>
    </row>
    <row r="45" spans="2:24" x14ac:dyDescent="0.35">
      <c r="B45" s="17" t="s">
        <v>22</v>
      </c>
      <c r="C45" s="17" t="s">
        <v>23</v>
      </c>
      <c r="D45" s="17" t="s">
        <v>24</v>
      </c>
      <c r="E45" s="17" t="s">
        <v>25</v>
      </c>
      <c r="F45" s="17" t="s">
        <v>26</v>
      </c>
      <c r="K45" s="31" t="s">
        <v>27</v>
      </c>
      <c r="L45" s="31"/>
      <c r="M45" s="31"/>
      <c r="N45" s="31"/>
      <c r="O45" s="31"/>
      <c r="P45" s="31"/>
    </row>
    <row r="46" spans="2:24" x14ac:dyDescent="0.35">
      <c r="B46" s="3">
        <v>7001</v>
      </c>
      <c r="C46" s="3" t="s">
        <v>71</v>
      </c>
      <c r="D46" s="3" t="s">
        <v>74</v>
      </c>
      <c r="E46" s="3" t="s">
        <v>75</v>
      </c>
      <c r="F46" s="30">
        <v>40000</v>
      </c>
      <c r="K46" s="26" t="s">
        <v>28</v>
      </c>
      <c r="L46" s="26" t="s">
        <v>20</v>
      </c>
      <c r="M46" s="26" t="s">
        <v>29</v>
      </c>
      <c r="N46" s="26" t="s">
        <v>19</v>
      </c>
      <c r="O46" s="26" t="s">
        <v>13</v>
      </c>
      <c r="P46" s="26" t="s">
        <v>30</v>
      </c>
    </row>
    <row r="47" spans="2:24" x14ac:dyDescent="0.35">
      <c r="B47" s="3">
        <v>7002</v>
      </c>
      <c r="C47" s="3" t="s">
        <v>72</v>
      </c>
      <c r="D47" s="3" t="s">
        <v>74</v>
      </c>
      <c r="E47" s="3" t="s">
        <v>75</v>
      </c>
      <c r="F47" s="30">
        <v>50000</v>
      </c>
      <c r="K47" s="2">
        <v>201</v>
      </c>
      <c r="L47" s="3" t="s">
        <v>55</v>
      </c>
      <c r="M47" s="2" t="str">
        <f>E27</f>
        <v>Arte_Perro</v>
      </c>
      <c r="N47" s="2" t="s">
        <v>80</v>
      </c>
      <c r="O47" s="2">
        <v>10</v>
      </c>
      <c r="P47" s="3" t="s">
        <v>84</v>
      </c>
    </row>
    <row r="48" spans="2:24" x14ac:dyDescent="0.35">
      <c r="B48" s="3">
        <v>7003</v>
      </c>
      <c r="C48" s="3" t="s">
        <v>73</v>
      </c>
      <c r="D48" s="3" t="s">
        <v>74</v>
      </c>
      <c r="E48" s="3" t="s">
        <v>75</v>
      </c>
      <c r="F48" s="30">
        <v>80000</v>
      </c>
      <c r="K48" s="3">
        <v>202</v>
      </c>
      <c r="L48" s="3" t="s">
        <v>55</v>
      </c>
      <c r="M48" s="3" t="s">
        <v>72</v>
      </c>
      <c r="N48" s="3" t="s">
        <v>81</v>
      </c>
      <c r="O48" s="3">
        <v>20</v>
      </c>
      <c r="P48" s="3" t="s">
        <v>85</v>
      </c>
    </row>
    <row r="49" spans="2:23" x14ac:dyDescent="0.35">
      <c r="B49" s="3">
        <v>7004</v>
      </c>
      <c r="C49" s="3" t="s">
        <v>93</v>
      </c>
      <c r="D49" s="3" t="s">
        <v>74</v>
      </c>
      <c r="E49" s="3" t="s">
        <v>75</v>
      </c>
      <c r="F49" s="30">
        <v>90000</v>
      </c>
      <c r="K49" s="3">
        <v>203</v>
      </c>
      <c r="L49" s="3" t="s">
        <v>76</v>
      </c>
      <c r="M49" s="3" t="s">
        <v>73</v>
      </c>
      <c r="N49" s="3" t="s">
        <v>82</v>
      </c>
      <c r="O49" s="3">
        <v>30</v>
      </c>
      <c r="P49" s="3" t="s">
        <v>86</v>
      </c>
    </row>
    <row r="50" spans="2:23" x14ac:dyDescent="0.35">
      <c r="K50" s="3">
        <v>204</v>
      </c>
      <c r="L50" s="3" t="s">
        <v>76</v>
      </c>
      <c r="M50" s="3" t="str">
        <f>C49</f>
        <v>Arte_Vera</v>
      </c>
      <c r="N50" s="3" t="s">
        <v>83</v>
      </c>
      <c r="O50" s="3">
        <v>30</v>
      </c>
      <c r="P50" s="3" t="s">
        <v>87</v>
      </c>
    </row>
    <row r="52" spans="2:23" x14ac:dyDescent="0.35">
      <c r="S52" s="43" t="s">
        <v>38</v>
      </c>
      <c r="T52" s="43"/>
      <c r="U52" s="43"/>
      <c r="V52" s="43"/>
      <c r="W52" s="43"/>
    </row>
    <row r="53" spans="2:23" x14ac:dyDescent="0.35">
      <c r="S53" s="19" t="s">
        <v>37</v>
      </c>
      <c r="T53" s="19" t="s">
        <v>39</v>
      </c>
      <c r="U53" s="19" t="s">
        <v>13</v>
      </c>
      <c r="V53" s="19" t="s">
        <v>40</v>
      </c>
      <c r="W53" s="18" t="s">
        <v>70</v>
      </c>
    </row>
    <row r="54" spans="2:23" x14ac:dyDescent="0.35">
      <c r="S54" s="3">
        <v>220</v>
      </c>
      <c r="T54" s="3" t="str">
        <f>U36</f>
        <v xml:space="preserve">Bogota </v>
      </c>
      <c r="U54" s="3">
        <v>5</v>
      </c>
      <c r="V54" s="15">
        <v>22000</v>
      </c>
      <c r="W54" s="3">
        <f>S36</f>
        <v>10</v>
      </c>
    </row>
    <row r="55" spans="2:23" x14ac:dyDescent="0.35">
      <c r="S55" s="3">
        <v>221</v>
      </c>
      <c r="T55" s="3" t="str">
        <f>U37</f>
        <v xml:space="preserve">Cali </v>
      </c>
      <c r="U55" s="3">
        <v>3</v>
      </c>
      <c r="V55" s="15">
        <v>22000</v>
      </c>
      <c r="W55" s="3">
        <f>S37</f>
        <v>20</v>
      </c>
    </row>
    <row r="56" spans="2:23" x14ac:dyDescent="0.35">
      <c r="S56" s="3">
        <v>222</v>
      </c>
      <c r="T56" s="3" t="str">
        <f>U38</f>
        <v>Valledupar</v>
      </c>
      <c r="U56" s="3">
        <v>4</v>
      </c>
      <c r="V56" s="15">
        <v>22000</v>
      </c>
      <c r="W56" s="3">
        <f>S38</f>
        <v>30</v>
      </c>
    </row>
    <row r="57" spans="2:23" x14ac:dyDescent="0.35">
      <c r="S57" s="3">
        <v>223</v>
      </c>
      <c r="T57" s="3" t="str">
        <f>U39</f>
        <v>Valledupar</v>
      </c>
      <c r="U57" s="3">
        <v>10</v>
      </c>
      <c r="V57" s="15">
        <v>22000</v>
      </c>
      <c r="W57" s="3">
        <f>S39</f>
        <v>30</v>
      </c>
    </row>
  </sheetData>
  <mergeCells count="11">
    <mergeCell ref="S52:W52"/>
    <mergeCell ref="S33:X33"/>
    <mergeCell ref="B25:I25"/>
    <mergeCell ref="K45:P45"/>
    <mergeCell ref="J17:O17"/>
    <mergeCell ref="V34:W34"/>
    <mergeCell ref="M4:Q4"/>
    <mergeCell ref="B44:F44"/>
    <mergeCell ref="C4:K4"/>
    <mergeCell ref="Q16:U16"/>
    <mergeCell ref="K32:P32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security Alarm</cp:lastModifiedBy>
  <dcterms:created xsi:type="dcterms:W3CDTF">2026-03-31T14:53:31Z</dcterms:created>
  <dcterms:modified xsi:type="dcterms:W3CDTF">2026-04-11T15:43:42Z</dcterms:modified>
</cp:coreProperties>
</file>